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milan\Desktop\"/>
    </mc:Choice>
  </mc:AlternateContent>
  <xr:revisionPtr revIDLastSave="0" documentId="13_ncr:1_{09FEDE0B-DBD5-4CB0-9EDC-24F38EB90B0F}" xr6:coauthVersionLast="47" xr6:coauthVersionMax="47" xr10:uidLastSave="{00000000-0000-0000-0000-000000000000}"/>
  <bookViews>
    <workbookView xWindow="-108" yWindow="-108" windowWidth="23256" windowHeight="12456" xr2:uid="{2F2DC712-C78B-48E0-BDDD-D8B709A79881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4" i="1" s="1"/>
  <c r="O47" i="1"/>
  <c r="O49" i="1" s="1"/>
</calcChain>
</file>

<file path=xl/sharedStrings.xml><?xml version="1.0" encoding="utf-8"?>
<sst xmlns="http://schemas.openxmlformats.org/spreadsheetml/2006/main" count="52" uniqueCount="41">
  <si>
    <t>Nacenění informačního systému pro SK Dolní Tabulka</t>
  </si>
  <si>
    <t>1/2026</t>
  </si>
  <si>
    <t>Položka</t>
  </si>
  <si>
    <t>Cena bez DPH</t>
  </si>
  <si>
    <t>Perioda</t>
  </si>
  <si>
    <t>Poznámka</t>
  </si>
  <si>
    <t>Vývoj a zavedení systému</t>
  </si>
  <si>
    <t>Jednorázově</t>
  </si>
  <si>
    <t>Analýza, vývoj, konfigurace a přizpůsobení požadavkům klubu</t>
  </si>
  <si>
    <t>Licence a technická podpora</t>
  </si>
  <si>
    <t>Měsíčně</t>
  </si>
  <si>
    <t>Údržba, aktualizace, opravy chyb a technická podpora</t>
  </si>
  <si>
    <t>Webhosting / VPS</t>
  </si>
  <si>
    <t>Provoz a správa webové aplikace a databáze</t>
  </si>
  <si>
    <t>Doména .cz</t>
  </si>
  <si>
    <t>Ročně</t>
  </si>
  <si>
    <t>Registrace a prodloužení domény</t>
  </si>
  <si>
    <t>Česká + anglická verze</t>
  </si>
  <si>
    <t>V ceně</t>
  </si>
  <si>
    <t>____</t>
  </si>
  <si>
    <t>Součást systému</t>
  </si>
  <si>
    <t>E-mailové notifikace</t>
  </si>
  <si>
    <t>Běžné systémové notifikace</t>
  </si>
  <si>
    <t>SMS notifikace</t>
  </si>
  <si>
    <t>1 Kč / SMS</t>
  </si>
  <si>
    <t>Účtovány podle počtu odeslaných SMS</t>
  </si>
  <si>
    <t>Přizpůsobení vzhledu</t>
  </si>
  <si>
    <t>Klubové barvy, pozadí a fonty</t>
  </si>
  <si>
    <t>Historie změn a oprávnění</t>
  </si>
  <si>
    <t>Implementace dle požadavků</t>
  </si>
  <si>
    <t>SSL certifikát</t>
  </si>
  <si>
    <t>Certifikát Let's Encrypt</t>
  </si>
  <si>
    <t>Nové funkce nad rámec zadání</t>
  </si>
  <si>
    <t>Individuálně</t>
  </si>
  <si>
    <t>Nacenění podle rozsahu dalšího vývoje</t>
  </si>
  <si>
    <t>Jsme plátci DPH se základní daňovou sazbou 21%.</t>
  </si>
  <si>
    <t>Celkem za 1.rok bez DPH</t>
  </si>
  <si>
    <t>SMS notifikace a případné nové funkce nad rámec zadání nejsou zahrnuty v celkové ceně a jsou účtovány dle skutečné spotřeby / individuálního nacenění.</t>
  </si>
  <si>
    <t>Celkem za 1.rok s DPH</t>
  </si>
  <si>
    <t>Následné roční náklady bez DPH</t>
  </si>
  <si>
    <t>Následné roční náklady s DPH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</si>
</sst>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6">
    <font>
      <sz val="11"/>
      <color theme="1"/>
      <name val="Aptos Narrow"/>
      <family val="2"/>
      <charset val="238"/>
      <scheme val="minor"/>
    </font>
    <font>
      <sz val="12"/>
      <color theme="1"/>
      <name val="Tahoma"/>
      <family val="2"/>
      <charset val="238"/>
    </font>
    <font>
      <b/>
      <sz val="14"/>
      <color theme="1"/>
      <name val="Tahoma"/>
      <family val="2"/>
      <charset val="238"/>
    </font>
    <font>
      <b/>
      <sz val="12"/>
      <color theme="1"/>
      <name val="Tahoma"/>
      <family val="2"/>
      <charset val="238"/>
    </font>
    <font>
      <b/>
      <sz val="16"/>
      <color theme="1"/>
      <name val="Tahoma"/>
      <family val="2"/>
      <charset val="238"/>
    </font>
    <font>
      <sz val="16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1" fillId="2" borderId="15" xfId="0" applyFont="1" applyFill="1" applyBorder="1" applyAlignment="1">
      <alignment horizontal="center" vertical="center" wrapText="1"/>
    </xf>
    <xf numFmtId="164" fontId="1" fillId="2" borderId="15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0" xfId="0" applyFont="1" applyFill="1"/>
    <xf numFmtId="164" fontId="1" fillId="2" borderId="0" xfId="0" applyNumberFormat="1" applyFont="1" applyFill="1"/>
    <xf numFmtId="0" fontId="1" fillId="2" borderId="5" xfId="0" applyFont="1" applyFill="1" applyBorder="1"/>
    <xf numFmtId="0" fontId="1" fillId="2" borderId="15" xfId="0" applyFont="1" applyFill="1" applyBorder="1"/>
    <xf numFmtId="164" fontId="1" fillId="2" borderId="15" xfId="0" applyNumberFormat="1" applyFont="1" applyFill="1" applyBorder="1"/>
    <xf numFmtId="0" fontId="1" fillId="2" borderId="16" xfId="0" applyFont="1" applyFill="1" applyBorder="1"/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/>
    <xf numFmtId="0" fontId="1" fillId="2" borderId="23" xfId="0" applyFont="1" applyFill="1" applyBorder="1"/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64" fontId="1" fillId="2" borderId="16" xfId="0" applyNumberFormat="1" applyFont="1" applyFill="1" applyBorder="1" applyAlignment="1">
      <alignment horizontal="center" vertical="center" wrapText="1"/>
    </xf>
    <xf numFmtId="164" fontId="1" fillId="2" borderId="16" xfId="0" applyNumberFormat="1" applyFont="1" applyFill="1" applyBorder="1"/>
    <xf numFmtId="49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top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BFB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C53F-5138-44D7-96F1-E1A5EBE9B515}">
  <dimension ref="A1:T60"/>
  <sheetViews>
    <sheetView tabSelected="1" zoomScale="70" zoomScaleNormal="70" workbookViewId="0">
      <selection activeCell="S10" sqref="S10"/>
    </sheetView>
  </sheetViews>
  <sheetFormatPr defaultRowHeight="14.45"/>
  <cols>
    <col min="3" max="18" width="11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5" customHeight="1">
      <c r="A3" s="1"/>
      <c r="B3" s="1"/>
      <c r="C3" s="37" t="s">
        <v>0</v>
      </c>
      <c r="D3" s="38"/>
      <c r="E3" s="38"/>
      <c r="F3" s="38"/>
      <c r="G3" s="38"/>
      <c r="H3" s="38"/>
      <c r="I3" s="38"/>
      <c r="J3" s="39"/>
      <c r="K3" s="1"/>
      <c r="L3" s="1"/>
      <c r="M3" s="1"/>
      <c r="N3" s="1"/>
      <c r="O3" s="1"/>
      <c r="P3" s="26" t="s">
        <v>1</v>
      </c>
      <c r="Q3" s="27"/>
      <c r="R3" s="28"/>
      <c r="S3" s="1"/>
      <c r="T3" s="1"/>
    </row>
    <row r="4" spans="1:20" ht="14.45" customHeight="1">
      <c r="A4" s="1"/>
      <c r="B4" s="1"/>
      <c r="C4" s="40"/>
      <c r="D4" s="41"/>
      <c r="E4" s="41"/>
      <c r="F4" s="41"/>
      <c r="G4" s="41"/>
      <c r="H4" s="41"/>
      <c r="I4" s="41"/>
      <c r="J4" s="42"/>
      <c r="K4" s="1"/>
      <c r="L4" s="1"/>
      <c r="M4" s="1"/>
      <c r="N4" s="1"/>
      <c r="O4" s="1"/>
      <c r="P4" s="29"/>
      <c r="Q4" s="30"/>
      <c r="R4" s="31"/>
      <c r="S4" s="1"/>
      <c r="T4" s="1"/>
    </row>
    <row r="5" spans="1:20" ht="14.45" customHeight="1">
      <c r="A5" s="1"/>
      <c r="B5" s="1"/>
      <c r="C5" s="40"/>
      <c r="D5" s="41"/>
      <c r="E5" s="41"/>
      <c r="F5" s="41"/>
      <c r="G5" s="41"/>
      <c r="H5" s="41"/>
      <c r="I5" s="41"/>
      <c r="J5" s="42"/>
      <c r="K5" s="1"/>
      <c r="L5" s="1"/>
      <c r="M5" s="1"/>
      <c r="N5" s="1"/>
      <c r="O5" s="1"/>
      <c r="P5" s="29"/>
      <c r="Q5" s="30"/>
      <c r="R5" s="31"/>
      <c r="S5" s="1"/>
      <c r="T5" s="1"/>
    </row>
    <row r="6" spans="1:20" ht="14.45" customHeight="1">
      <c r="A6" s="1"/>
      <c r="B6" s="1"/>
      <c r="C6" s="40"/>
      <c r="D6" s="41"/>
      <c r="E6" s="41"/>
      <c r="F6" s="41"/>
      <c r="G6" s="41"/>
      <c r="H6" s="41"/>
      <c r="I6" s="41"/>
      <c r="J6" s="42"/>
      <c r="K6" s="1"/>
      <c r="L6" s="1"/>
      <c r="M6" s="1"/>
      <c r="N6" s="1"/>
      <c r="O6" s="1"/>
      <c r="P6" s="29"/>
      <c r="Q6" s="30"/>
      <c r="R6" s="31"/>
      <c r="S6" s="1"/>
      <c r="T6" s="1"/>
    </row>
    <row r="7" spans="1:20" ht="15" customHeight="1" thickBot="1">
      <c r="A7" s="1"/>
      <c r="B7" s="1"/>
      <c r="C7" s="43"/>
      <c r="D7" s="44"/>
      <c r="E7" s="44"/>
      <c r="F7" s="44"/>
      <c r="G7" s="44"/>
      <c r="H7" s="44"/>
      <c r="I7" s="44"/>
      <c r="J7" s="45"/>
      <c r="K7" s="1"/>
      <c r="L7" s="1"/>
      <c r="M7" s="1"/>
      <c r="N7" s="1"/>
      <c r="O7" s="1"/>
      <c r="P7" s="32"/>
      <c r="Q7" s="33"/>
      <c r="R7" s="34"/>
      <c r="S7" s="1"/>
      <c r="T7" s="1"/>
    </row>
    <row r="8" spans="1:20">
      <c r="A8" s="1"/>
      <c r="B8" s="1"/>
      <c r="C8" s="68" t="s">
        <v>2</v>
      </c>
      <c r="D8" s="69"/>
      <c r="E8" s="69"/>
      <c r="F8" s="69"/>
      <c r="G8" s="69" t="s">
        <v>3</v>
      </c>
      <c r="H8" s="69"/>
      <c r="I8" s="69"/>
      <c r="J8" s="69"/>
      <c r="K8" s="69" t="s">
        <v>4</v>
      </c>
      <c r="L8" s="69"/>
      <c r="M8" s="69"/>
      <c r="N8" s="69"/>
      <c r="O8" s="69" t="s">
        <v>5</v>
      </c>
      <c r="P8" s="69"/>
      <c r="Q8" s="69"/>
      <c r="R8" s="74"/>
      <c r="S8" s="1"/>
      <c r="T8" s="1"/>
    </row>
    <row r="9" spans="1:20">
      <c r="A9" s="1"/>
      <c r="B9" s="1"/>
      <c r="C9" s="7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5"/>
      <c r="S9" s="1"/>
      <c r="T9" s="1"/>
    </row>
    <row r="10" spans="1:20" ht="15" thickBot="1">
      <c r="A10" s="1"/>
      <c r="B10" s="1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6"/>
      <c r="S10" s="1"/>
      <c r="T10" s="1"/>
    </row>
    <row r="11" spans="1:20" ht="15.6" customHeight="1">
      <c r="A11" s="1"/>
      <c r="B11" s="1"/>
      <c r="C11" s="64" t="s">
        <v>6</v>
      </c>
      <c r="D11" s="65"/>
      <c r="E11" s="65"/>
      <c r="F11" s="65"/>
      <c r="G11" s="66">
        <v>69900</v>
      </c>
      <c r="H11" s="66"/>
      <c r="I11" s="66"/>
      <c r="J11" s="66"/>
      <c r="K11" s="65" t="s">
        <v>7</v>
      </c>
      <c r="L11" s="65"/>
      <c r="M11" s="65"/>
      <c r="N11" s="65"/>
      <c r="O11" s="65" t="s">
        <v>8</v>
      </c>
      <c r="P11" s="65"/>
      <c r="Q11" s="65"/>
      <c r="R11" s="67"/>
      <c r="S11" s="1"/>
      <c r="T11" s="1"/>
    </row>
    <row r="12" spans="1:20" ht="15.6" customHeight="1">
      <c r="A12" s="1"/>
      <c r="B12" s="1"/>
      <c r="C12" s="50"/>
      <c r="D12" s="51"/>
      <c r="E12" s="51"/>
      <c r="F12" s="51"/>
      <c r="G12" s="59"/>
      <c r="H12" s="59"/>
      <c r="I12" s="59"/>
      <c r="J12" s="59"/>
      <c r="K12" s="51"/>
      <c r="L12" s="51"/>
      <c r="M12" s="51"/>
      <c r="N12" s="51"/>
      <c r="O12" s="51"/>
      <c r="P12" s="51"/>
      <c r="Q12" s="51"/>
      <c r="R12" s="56"/>
      <c r="S12" s="1"/>
      <c r="T12" s="1"/>
    </row>
    <row r="13" spans="1:20" ht="15.6" customHeight="1">
      <c r="A13" s="1"/>
      <c r="B13" s="1"/>
      <c r="C13" s="12"/>
      <c r="D13" s="2"/>
      <c r="E13" s="2"/>
      <c r="F13" s="4"/>
      <c r="G13" s="3"/>
      <c r="H13" s="3"/>
      <c r="I13" s="3"/>
      <c r="J13" s="24"/>
      <c r="K13" s="2"/>
      <c r="L13" s="2"/>
      <c r="M13" s="2"/>
      <c r="N13" s="4"/>
      <c r="O13" s="2"/>
      <c r="P13" s="2"/>
      <c r="Q13" s="2"/>
      <c r="R13" s="13"/>
      <c r="S13" s="1"/>
      <c r="T13" s="1"/>
    </row>
    <row r="14" spans="1:20" ht="15.6" customHeight="1">
      <c r="A14" s="1"/>
      <c r="B14" s="1"/>
      <c r="C14" s="50" t="s">
        <v>9</v>
      </c>
      <c r="D14" s="51"/>
      <c r="E14" s="51"/>
      <c r="F14" s="51"/>
      <c r="G14" s="59">
        <v>1499</v>
      </c>
      <c r="H14" s="59"/>
      <c r="I14" s="59"/>
      <c r="J14" s="59"/>
      <c r="K14" s="51" t="s">
        <v>10</v>
      </c>
      <c r="L14" s="51"/>
      <c r="M14" s="51"/>
      <c r="N14" s="51"/>
      <c r="O14" s="51" t="s">
        <v>11</v>
      </c>
      <c r="P14" s="51"/>
      <c r="Q14" s="51"/>
      <c r="R14" s="56"/>
      <c r="S14" s="1"/>
      <c r="T14" s="1"/>
    </row>
    <row r="15" spans="1:20" ht="15.6" customHeight="1">
      <c r="A15" s="1"/>
      <c r="B15" s="1"/>
      <c r="C15" s="50"/>
      <c r="D15" s="51"/>
      <c r="E15" s="51"/>
      <c r="F15" s="51"/>
      <c r="G15" s="59"/>
      <c r="H15" s="59"/>
      <c r="I15" s="59"/>
      <c r="J15" s="59"/>
      <c r="K15" s="51"/>
      <c r="L15" s="51"/>
      <c r="M15" s="51"/>
      <c r="N15" s="51"/>
      <c r="O15" s="51"/>
      <c r="P15" s="51"/>
      <c r="Q15" s="51"/>
      <c r="R15" s="56"/>
      <c r="S15" s="1"/>
      <c r="T15" s="1"/>
    </row>
    <row r="16" spans="1:20" ht="15.6">
      <c r="A16" s="1"/>
      <c r="B16" s="1"/>
      <c r="C16" s="5"/>
      <c r="D16" s="6"/>
      <c r="E16" s="6"/>
      <c r="F16" s="11"/>
      <c r="G16" s="7"/>
      <c r="H16" s="7"/>
      <c r="I16" s="7"/>
      <c r="J16" s="25"/>
      <c r="K16" s="6"/>
      <c r="L16" s="6"/>
      <c r="M16" s="6"/>
      <c r="N16" s="11"/>
      <c r="O16" s="6"/>
      <c r="P16" s="6"/>
      <c r="Q16" s="6"/>
      <c r="R16" s="8"/>
      <c r="S16" s="1"/>
      <c r="T16" s="1"/>
    </row>
    <row r="17" spans="1:20" ht="15.6" customHeight="1">
      <c r="A17" s="1"/>
      <c r="B17" s="1"/>
      <c r="C17" s="50" t="s">
        <v>12</v>
      </c>
      <c r="D17" s="51"/>
      <c r="E17" s="51"/>
      <c r="F17" s="51"/>
      <c r="G17" s="59">
        <v>499</v>
      </c>
      <c r="H17" s="59"/>
      <c r="I17" s="59"/>
      <c r="J17" s="59"/>
      <c r="K17" s="51" t="s">
        <v>10</v>
      </c>
      <c r="L17" s="51"/>
      <c r="M17" s="51"/>
      <c r="N17" s="51"/>
      <c r="O17" s="51" t="s">
        <v>13</v>
      </c>
      <c r="P17" s="51"/>
      <c r="Q17" s="51"/>
      <c r="R17" s="56"/>
      <c r="S17" s="1"/>
      <c r="T17" s="1"/>
    </row>
    <row r="18" spans="1:20" ht="15.6" customHeight="1">
      <c r="A18" s="1"/>
      <c r="B18" s="1"/>
      <c r="C18" s="60"/>
      <c r="D18" s="61"/>
      <c r="E18" s="61"/>
      <c r="F18" s="61"/>
      <c r="G18" s="62"/>
      <c r="H18" s="62"/>
      <c r="I18" s="62"/>
      <c r="J18" s="62"/>
      <c r="K18" s="61"/>
      <c r="L18" s="61"/>
      <c r="M18" s="61"/>
      <c r="N18" s="61"/>
      <c r="O18" s="61"/>
      <c r="P18" s="61"/>
      <c r="Q18" s="61"/>
      <c r="R18" s="63"/>
      <c r="S18" s="1"/>
      <c r="T18" s="1"/>
    </row>
    <row r="19" spans="1:20" ht="15.6">
      <c r="A19" s="1"/>
      <c r="B19" s="1"/>
      <c r="C19" s="14"/>
      <c r="D19" s="9"/>
      <c r="E19" s="9"/>
      <c r="F19" s="11"/>
      <c r="G19" s="10"/>
      <c r="H19" s="10"/>
      <c r="I19" s="10"/>
      <c r="J19" s="25"/>
      <c r="K19" s="9"/>
      <c r="L19" s="9"/>
      <c r="M19" s="9"/>
      <c r="N19" s="11"/>
      <c r="O19" s="9"/>
      <c r="P19" s="9"/>
      <c r="Q19" s="9"/>
      <c r="R19" s="15"/>
      <c r="S19" s="1"/>
      <c r="T19" s="1"/>
    </row>
    <row r="20" spans="1:20" ht="15.6" customHeight="1">
      <c r="A20" s="1"/>
      <c r="B20" s="1"/>
      <c r="C20" s="64" t="s">
        <v>14</v>
      </c>
      <c r="D20" s="65"/>
      <c r="E20" s="65"/>
      <c r="F20" s="65"/>
      <c r="G20" s="66">
        <v>359</v>
      </c>
      <c r="H20" s="66"/>
      <c r="I20" s="66"/>
      <c r="J20" s="66"/>
      <c r="K20" s="65" t="s">
        <v>15</v>
      </c>
      <c r="L20" s="65"/>
      <c r="M20" s="65"/>
      <c r="N20" s="65"/>
      <c r="O20" s="65" t="s">
        <v>16</v>
      </c>
      <c r="P20" s="65"/>
      <c r="Q20" s="65"/>
      <c r="R20" s="67"/>
      <c r="S20" s="1"/>
      <c r="T20" s="1"/>
    </row>
    <row r="21" spans="1:20" ht="15.6" customHeight="1">
      <c r="A21" s="1"/>
      <c r="B21" s="1"/>
      <c r="C21" s="50"/>
      <c r="D21" s="51"/>
      <c r="E21" s="51"/>
      <c r="F21" s="51"/>
      <c r="G21" s="59"/>
      <c r="H21" s="59"/>
      <c r="I21" s="59"/>
      <c r="J21" s="59"/>
      <c r="K21" s="51"/>
      <c r="L21" s="51"/>
      <c r="M21" s="51"/>
      <c r="N21" s="51"/>
      <c r="O21" s="51"/>
      <c r="P21" s="51"/>
      <c r="Q21" s="51"/>
      <c r="R21" s="56"/>
      <c r="S21" s="1"/>
      <c r="T21" s="1"/>
    </row>
    <row r="22" spans="1:20" ht="15.6">
      <c r="A22" s="1"/>
      <c r="B22" s="1"/>
      <c r="C22" s="5"/>
      <c r="D22" s="6"/>
      <c r="E22" s="6"/>
      <c r="F22" s="11"/>
      <c r="G22" s="7"/>
      <c r="H22" s="7"/>
      <c r="I22" s="7"/>
      <c r="J22" s="25"/>
      <c r="K22" s="6"/>
      <c r="L22" s="6"/>
      <c r="M22" s="6"/>
      <c r="N22" s="11"/>
      <c r="O22" s="6"/>
      <c r="P22" s="6"/>
      <c r="Q22" s="6"/>
      <c r="R22" s="8"/>
      <c r="S22" s="1"/>
      <c r="T22" s="1"/>
    </row>
    <row r="23" spans="1:20" ht="15" customHeight="1">
      <c r="A23" s="1"/>
      <c r="B23" s="1"/>
      <c r="C23" s="50" t="s">
        <v>17</v>
      </c>
      <c r="D23" s="51"/>
      <c r="E23" s="51"/>
      <c r="F23" s="51"/>
      <c r="G23" s="59" t="s">
        <v>18</v>
      </c>
      <c r="H23" s="59"/>
      <c r="I23" s="59"/>
      <c r="J23" s="59"/>
      <c r="K23" s="54" t="s">
        <v>19</v>
      </c>
      <c r="L23" s="58"/>
      <c r="M23" s="58"/>
      <c r="N23" s="58"/>
      <c r="O23" s="51" t="s">
        <v>20</v>
      </c>
      <c r="P23" s="51"/>
      <c r="Q23" s="51"/>
      <c r="R23" s="56"/>
      <c r="S23" s="1"/>
      <c r="T23" s="1"/>
    </row>
    <row r="24" spans="1:20" ht="15" customHeight="1">
      <c r="A24" s="1"/>
      <c r="B24" s="1"/>
      <c r="C24" s="50"/>
      <c r="D24" s="51"/>
      <c r="E24" s="51"/>
      <c r="F24" s="51"/>
      <c r="G24" s="59"/>
      <c r="H24" s="59"/>
      <c r="I24" s="59"/>
      <c r="J24" s="59"/>
      <c r="K24" s="58"/>
      <c r="L24" s="58"/>
      <c r="M24" s="58"/>
      <c r="N24" s="58"/>
      <c r="O24" s="51"/>
      <c r="P24" s="51"/>
      <c r="Q24" s="51"/>
      <c r="R24" s="56"/>
      <c r="S24" s="1"/>
      <c r="T24" s="1"/>
    </row>
    <row r="25" spans="1:20" ht="15.6">
      <c r="A25" s="1"/>
      <c r="B25" s="1"/>
      <c r="C25" s="5"/>
      <c r="D25" s="6"/>
      <c r="E25" s="6"/>
      <c r="F25" s="11"/>
      <c r="G25" s="7"/>
      <c r="H25" s="7"/>
      <c r="I25" s="7"/>
      <c r="J25" s="25"/>
      <c r="K25" s="6"/>
      <c r="L25" s="6"/>
      <c r="M25" s="6"/>
      <c r="N25" s="11"/>
      <c r="O25" s="6"/>
      <c r="P25" s="6"/>
      <c r="Q25" s="6"/>
      <c r="R25" s="8"/>
      <c r="S25" s="1"/>
      <c r="T25" s="1"/>
    </row>
    <row r="26" spans="1:20" ht="15.6" customHeight="1">
      <c r="A26" s="1"/>
      <c r="B26" s="1"/>
      <c r="C26" s="50" t="s">
        <v>21</v>
      </c>
      <c r="D26" s="51"/>
      <c r="E26" s="51"/>
      <c r="F26" s="51"/>
      <c r="G26" s="59" t="s">
        <v>18</v>
      </c>
      <c r="H26" s="59"/>
      <c r="I26" s="59"/>
      <c r="J26" s="59"/>
      <c r="K26" s="54" t="s">
        <v>19</v>
      </c>
      <c r="L26" s="58"/>
      <c r="M26" s="58"/>
      <c r="N26" s="58"/>
      <c r="O26" s="51" t="s">
        <v>22</v>
      </c>
      <c r="P26" s="51"/>
      <c r="Q26" s="51"/>
      <c r="R26" s="56"/>
      <c r="S26" s="1"/>
      <c r="T26" s="1"/>
    </row>
    <row r="27" spans="1:20" ht="15.6" customHeight="1">
      <c r="A27" s="1"/>
      <c r="B27" s="1"/>
      <c r="C27" s="50"/>
      <c r="D27" s="51"/>
      <c r="E27" s="51"/>
      <c r="F27" s="51"/>
      <c r="G27" s="59"/>
      <c r="H27" s="59"/>
      <c r="I27" s="59"/>
      <c r="J27" s="59"/>
      <c r="K27" s="58"/>
      <c r="L27" s="58"/>
      <c r="M27" s="58"/>
      <c r="N27" s="58"/>
      <c r="O27" s="51"/>
      <c r="P27" s="51"/>
      <c r="Q27" s="51"/>
      <c r="R27" s="56"/>
      <c r="S27" s="1"/>
      <c r="T27" s="1"/>
    </row>
    <row r="28" spans="1:20" ht="15.6">
      <c r="A28" s="1"/>
      <c r="B28" s="1"/>
      <c r="C28" s="5"/>
      <c r="D28" s="6"/>
      <c r="E28" s="6"/>
      <c r="F28" s="11"/>
      <c r="G28" s="7"/>
      <c r="H28" s="7"/>
      <c r="I28" s="7"/>
      <c r="J28" s="25"/>
      <c r="K28" s="6"/>
      <c r="L28" s="6"/>
      <c r="M28" s="6"/>
      <c r="N28" s="11"/>
      <c r="O28" s="6"/>
      <c r="P28" s="6"/>
      <c r="Q28" s="6"/>
      <c r="R28" s="8"/>
      <c r="S28" s="1"/>
      <c r="T28" s="1"/>
    </row>
    <row r="29" spans="1:20" ht="15.6" customHeight="1">
      <c r="A29" s="1"/>
      <c r="B29" s="1"/>
      <c r="C29" s="50" t="s">
        <v>23</v>
      </c>
      <c r="D29" s="51"/>
      <c r="E29" s="51"/>
      <c r="F29" s="51"/>
      <c r="G29" s="59" t="s">
        <v>24</v>
      </c>
      <c r="H29" s="59"/>
      <c r="I29" s="59"/>
      <c r="J29" s="59"/>
      <c r="K29" s="54" t="s">
        <v>19</v>
      </c>
      <c r="L29" s="58"/>
      <c r="M29" s="58"/>
      <c r="N29" s="58"/>
      <c r="O29" s="51" t="s">
        <v>25</v>
      </c>
      <c r="P29" s="51"/>
      <c r="Q29" s="51"/>
      <c r="R29" s="56"/>
      <c r="S29" s="1"/>
      <c r="T29" s="1"/>
    </row>
    <row r="30" spans="1:20" ht="15.6" customHeight="1">
      <c r="A30" s="1"/>
      <c r="B30" s="1"/>
      <c r="C30" s="50"/>
      <c r="D30" s="51"/>
      <c r="E30" s="51"/>
      <c r="F30" s="51"/>
      <c r="G30" s="59"/>
      <c r="H30" s="59"/>
      <c r="I30" s="59"/>
      <c r="J30" s="59"/>
      <c r="K30" s="58"/>
      <c r="L30" s="58"/>
      <c r="M30" s="58"/>
      <c r="N30" s="58"/>
      <c r="O30" s="51"/>
      <c r="P30" s="51"/>
      <c r="Q30" s="51"/>
      <c r="R30" s="56"/>
      <c r="S30" s="1"/>
      <c r="T30" s="1"/>
    </row>
    <row r="31" spans="1:20" ht="15.6">
      <c r="A31" s="1"/>
      <c r="B31" s="1"/>
      <c r="C31" s="5"/>
      <c r="D31" s="6"/>
      <c r="E31" s="6"/>
      <c r="F31" s="11"/>
      <c r="G31" s="7"/>
      <c r="H31" s="7"/>
      <c r="I31" s="7"/>
      <c r="J31" s="25"/>
      <c r="K31" s="6"/>
      <c r="L31" s="6"/>
      <c r="M31" s="6"/>
      <c r="N31" s="11"/>
      <c r="O31" s="6"/>
      <c r="P31" s="6"/>
      <c r="Q31" s="6"/>
      <c r="R31" s="8"/>
      <c r="S31" s="1"/>
      <c r="T31" s="1"/>
    </row>
    <row r="32" spans="1:20" ht="15.6" customHeight="1">
      <c r="A32" s="1"/>
      <c r="B32" s="1"/>
      <c r="C32" s="50" t="s">
        <v>26</v>
      </c>
      <c r="D32" s="51"/>
      <c r="E32" s="51"/>
      <c r="F32" s="51"/>
      <c r="G32" s="59" t="s">
        <v>18</v>
      </c>
      <c r="H32" s="59"/>
      <c r="I32" s="59"/>
      <c r="J32" s="59"/>
      <c r="K32" s="54" t="s">
        <v>19</v>
      </c>
      <c r="L32" s="54"/>
      <c r="M32" s="54"/>
      <c r="N32" s="54"/>
      <c r="O32" s="51" t="s">
        <v>27</v>
      </c>
      <c r="P32" s="51"/>
      <c r="Q32" s="51"/>
      <c r="R32" s="56"/>
      <c r="S32" s="1"/>
      <c r="T32" s="1"/>
    </row>
    <row r="33" spans="1:20">
      <c r="A33" s="1"/>
      <c r="B33" s="1"/>
      <c r="C33" s="50"/>
      <c r="D33" s="51"/>
      <c r="E33" s="51"/>
      <c r="F33" s="51"/>
      <c r="G33" s="59"/>
      <c r="H33" s="59"/>
      <c r="I33" s="59"/>
      <c r="J33" s="59"/>
      <c r="K33" s="54"/>
      <c r="L33" s="54"/>
      <c r="M33" s="54"/>
      <c r="N33" s="54"/>
      <c r="O33" s="51"/>
      <c r="P33" s="51"/>
      <c r="Q33" s="51"/>
      <c r="R33" s="56"/>
      <c r="S33" s="1"/>
      <c r="T33" s="1"/>
    </row>
    <row r="34" spans="1:20" ht="15.6">
      <c r="A34" s="1"/>
      <c r="B34" s="1"/>
      <c r="C34" s="5"/>
      <c r="D34" s="6"/>
      <c r="E34" s="6"/>
      <c r="F34" s="11"/>
      <c r="G34" s="6"/>
      <c r="H34" s="6"/>
      <c r="I34" s="6"/>
      <c r="J34" s="11"/>
      <c r="K34" s="6"/>
      <c r="L34" s="6"/>
      <c r="M34" s="6"/>
      <c r="N34" s="11"/>
      <c r="O34" s="6"/>
      <c r="P34" s="6"/>
      <c r="Q34" s="6"/>
      <c r="R34" s="8"/>
      <c r="S34" s="1"/>
      <c r="T34" s="1"/>
    </row>
    <row r="35" spans="1:20" ht="15.6" customHeight="1">
      <c r="A35" s="1"/>
      <c r="B35" s="1"/>
      <c r="C35" s="50" t="s">
        <v>28</v>
      </c>
      <c r="D35" s="51"/>
      <c r="E35" s="51"/>
      <c r="F35" s="51"/>
      <c r="G35" s="51" t="s">
        <v>18</v>
      </c>
      <c r="H35" s="51"/>
      <c r="I35" s="51"/>
      <c r="J35" s="51"/>
      <c r="K35" s="54" t="s">
        <v>19</v>
      </c>
      <c r="L35" s="54"/>
      <c r="M35" s="54"/>
      <c r="N35" s="54"/>
      <c r="O35" s="51" t="s">
        <v>29</v>
      </c>
      <c r="P35" s="51"/>
      <c r="Q35" s="51"/>
      <c r="R35" s="56"/>
      <c r="S35" s="1"/>
      <c r="T35" s="1"/>
    </row>
    <row r="36" spans="1:20" ht="15.6" customHeight="1">
      <c r="A36" s="1"/>
      <c r="B36" s="1"/>
      <c r="C36" s="50"/>
      <c r="D36" s="51"/>
      <c r="E36" s="51"/>
      <c r="F36" s="51"/>
      <c r="G36" s="51"/>
      <c r="H36" s="51"/>
      <c r="I36" s="51"/>
      <c r="J36" s="51"/>
      <c r="K36" s="54"/>
      <c r="L36" s="54"/>
      <c r="M36" s="54"/>
      <c r="N36" s="54"/>
      <c r="O36" s="51"/>
      <c r="P36" s="51"/>
      <c r="Q36" s="51"/>
      <c r="R36" s="56"/>
      <c r="S36" s="1"/>
      <c r="T36" s="1"/>
    </row>
    <row r="37" spans="1:20" ht="15.6">
      <c r="A37" s="1"/>
      <c r="B37" s="1"/>
      <c r="C37" s="5"/>
      <c r="D37" s="6"/>
      <c r="E37" s="6"/>
      <c r="F37" s="11"/>
      <c r="G37" s="6"/>
      <c r="H37" s="6"/>
      <c r="I37" s="6"/>
      <c r="J37" s="11"/>
      <c r="K37" s="6"/>
      <c r="L37" s="6"/>
      <c r="M37" s="6"/>
      <c r="N37" s="11"/>
      <c r="O37" s="6"/>
      <c r="P37" s="6"/>
      <c r="Q37" s="6"/>
      <c r="R37" s="8"/>
      <c r="S37" s="1"/>
      <c r="T37" s="1"/>
    </row>
    <row r="38" spans="1:20" ht="15.6" customHeight="1">
      <c r="A38" s="1"/>
      <c r="B38" s="1"/>
      <c r="C38" s="50" t="s">
        <v>30</v>
      </c>
      <c r="D38" s="51"/>
      <c r="E38" s="51"/>
      <c r="F38" s="51"/>
      <c r="G38" s="51" t="s">
        <v>18</v>
      </c>
      <c r="H38" s="51"/>
      <c r="I38" s="51"/>
      <c r="J38" s="51"/>
      <c r="K38" s="54" t="s">
        <v>19</v>
      </c>
      <c r="L38" s="58"/>
      <c r="M38" s="58"/>
      <c r="N38" s="58"/>
      <c r="O38" s="51" t="s">
        <v>31</v>
      </c>
      <c r="P38" s="51"/>
      <c r="Q38" s="51"/>
      <c r="R38" s="56"/>
      <c r="S38" s="1"/>
      <c r="T38" s="1"/>
    </row>
    <row r="39" spans="1:20" ht="15.6" customHeight="1">
      <c r="A39" s="1"/>
      <c r="B39" s="1"/>
      <c r="C39" s="50"/>
      <c r="D39" s="51"/>
      <c r="E39" s="51"/>
      <c r="F39" s="51"/>
      <c r="G39" s="51"/>
      <c r="H39" s="51"/>
      <c r="I39" s="51"/>
      <c r="J39" s="51"/>
      <c r="K39" s="58"/>
      <c r="L39" s="58"/>
      <c r="M39" s="58"/>
      <c r="N39" s="58"/>
      <c r="O39" s="51"/>
      <c r="P39" s="51"/>
      <c r="Q39" s="51"/>
      <c r="R39" s="56"/>
      <c r="S39" s="1"/>
      <c r="T39" s="1"/>
    </row>
    <row r="40" spans="1:20" ht="15.6">
      <c r="A40" s="1"/>
      <c r="B40" s="1"/>
      <c r="C40" s="5"/>
      <c r="D40" s="6"/>
      <c r="E40" s="6"/>
      <c r="F40" s="11"/>
      <c r="G40" s="6"/>
      <c r="H40" s="6"/>
      <c r="I40" s="6"/>
      <c r="J40" s="11"/>
      <c r="K40" s="6"/>
      <c r="L40" s="6"/>
      <c r="M40" s="6"/>
      <c r="N40" s="11"/>
      <c r="O40" s="6"/>
      <c r="P40" s="6"/>
      <c r="Q40" s="6"/>
      <c r="R40" s="8"/>
      <c r="S40" s="1"/>
      <c r="T40" s="1"/>
    </row>
    <row r="41" spans="1:20" ht="15.6" customHeight="1">
      <c r="A41" s="1"/>
      <c r="B41" s="1"/>
      <c r="C41" s="50" t="s">
        <v>32</v>
      </c>
      <c r="D41" s="51"/>
      <c r="E41" s="51"/>
      <c r="F41" s="51"/>
      <c r="G41" s="51" t="s">
        <v>33</v>
      </c>
      <c r="H41" s="51"/>
      <c r="I41" s="51"/>
      <c r="J41" s="51"/>
      <c r="K41" s="54" t="s">
        <v>19</v>
      </c>
      <c r="L41" s="54"/>
      <c r="M41" s="54"/>
      <c r="N41" s="54"/>
      <c r="O41" s="51" t="s">
        <v>34</v>
      </c>
      <c r="P41" s="51"/>
      <c r="Q41" s="51"/>
      <c r="R41" s="56"/>
      <c r="S41" s="1"/>
      <c r="T41" s="1"/>
    </row>
    <row r="42" spans="1:20" ht="15.6" customHeight="1" thickBot="1">
      <c r="A42" s="1"/>
      <c r="B42" s="1"/>
      <c r="C42" s="52"/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3"/>
      <c r="P42" s="53"/>
      <c r="Q42" s="53"/>
      <c r="R42" s="57"/>
      <c r="S42" s="1"/>
      <c r="T42" s="1"/>
    </row>
    <row r="43" spans="1:20" ht="15.6">
      <c r="A43" s="1"/>
      <c r="B43" s="6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8"/>
      <c r="S43" s="6"/>
      <c r="T43" s="1"/>
    </row>
    <row r="44" spans="1:20" ht="15.6">
      <c r="A44" s="1"/>
      <c r="B44" s="6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8"/>
      <c r="S44" s="6"/>
      <c r="T44" s="1"/>
    </row>
    <row r="45" spans="1:20" ht="15.6">
      <c r="A45" s="1"/>
      <c r="B45" s="6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8"/>
      <c r="S45" s="6"/>
      <c r="T45" s="1"/>
    </row>
    <row r="46" spans="1:20" ht="15.6" customHeight="1">
      <c r="A46" s="1"/>
      <c r="B46" s="6"/>
      <c r="C46" s="16"/>
      <c r="D46" s="17"/>
      <c r="E46" s="17"/>
      <c r="F46" s="1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8"/>
      <c r="S46" s="6"/>
      <c r="T46" s="1"/>
    </row>
    <row r="47" spans="1:20" ht="15.6" customHeight="1">
      <c r="A47" s="1"/>
      <c r="B47" s="6"/>
      <c r="C47" s="35" t="s">
        <v>35</v>
      </c>
      <c r="D47" s="36"/>
      <c r="E47" s="36"/>
      <c r="F47" s="36"/>
      <c r="G47" s="36"/>
      <c r="H47" s="6"/>
      <c r="I47" s="6"/>
      <c r="J47" s="6"/>
      <c r="K47" s="46" t="s">
        <v>36</v>
      </c>
      <c r="L47" s="46"/>
      <c r="M47" s="46"/>
      <c r="N47" s="46"/>
      <c r="O47" s="47">
        <f>SUM(G11,(G14 + G17) * 12,G20)</f>
        <v>94235</v>
      </c>
      <c r="P47" s="46"/>
      <c r="Q47" s="46"/>
      <c r="R47" s="48"/>
      <c r="S47" s="6"/>
      <c r="T47" s="1"/>
    </row>
    <row r="48" spans="1:20" ht="15.6">
      <c r="A48" s="1"/>
      <c r="B48" s="6"/>
      <c r="C48" s="35"/>
      <c r="D48" s="36"/>
      <c r="E48" s="36"/>
      <c r="F48" s="36"/>
      <c r="G48" s="36"/>
      <c r="H48" s="6"/>
      <c r="I48" s="6"/>
      <c r="J48" s="6"/>
      <c r="K48" s="46"/>
      <c r="L48" s="46"/>
      <c r="M48" s="46"/>
      <c r="N48" s="46"/>
      <c r="O48" s="46"/>
      <c r="P48" s="46"/>
      <c r="Q48" s="46"/>
      <c r="R48" s="48"/>
      <c r="S48" s="6"/>
      <c r="T48" s="1"/>
    </row>
    <row r="49" spans="1:20" ht="15.6" customHeight="1">
      <c r="A49" s="1"/>
      <c r="B49" s="6"/>
      <c r="C49" s="35" t="s">
        <v>37</v>
      </c>
      <c r="D49" s="36"/>
      <c r="E49" s="36"/>
      <c r="F49" s="36"/>
      <c r="G49" s="36"/>
      <c r="H49" s="36"/>
      <c r="I49" s="18"/>
      <c r="J49" s="18"/>
      <c r="K49" s="46" t="s">
        <v>38</v>
      </c>
      <c r="L49" s="46"/>
      <c r="M49" s="46"/>
      <c r="N49" s="46"/>
      <c r="O49" s="47">
        <f>O47 *1.21</f>
        <v>114024.34999999999</v>
      </c>
      <c r="P49" s="46"/>
      <c r="Q49" s="46"/>
      <c r="R49" s="48"/>
      <c r="S49" s="6"/>
      <c r="T49" s="1"/>
    </row>
    <row r="50" spans="1:20" ht="15.6">
      <c r="A50" s="1"/>
      <c r="B50" s="6"/>
      <c r="C50" s="35"/>
      <c r="D50" s="36"/>
      <c r="E50" s="36"/>
      <c r="F50" s="36"/>
      <c r="G50" s="36"/>
      <c r="H50" s="36"/>
      <c r="I50" s="18"/>
      <c r="J50" s="18"/>
      <c r="K50" s="46"/>
      <c r="L50" s="46"/>
      <c r="M50" s="46"/>
      <c r="N50" s="46"/>
      <c r="O50" s="46"/>
      <c r="P50" s="46"/>
      <c r="Q50" s="46"/>
      <c r="R50" s="48"/>
      <c r="S50" s="6"/>
      <c r="T50" s="1"/>
    </row>
    <row r="51" spans="1:20" ht="15.6">
      <c r="A51" s="1"/>
      <c r="B51" s="6"/>
      <c r="C51" s="35"/>
      <c r="D51" s="36"/>
      <c r="E51" s="36"/>
      <c r="F51" s="36"/>
      <c r="G51" s="36"/>
      <c r="H51" s="36"/>
      <c r="I51" s="18"/>
      <c r="J51" s="18"/>
      <c r="K51" s="6"/>
      <c r="L51" s="6"/>
      <c r="M51" s="6"/>
      <c r="N51" s="6"/>
      <c r="O51" s="6"/>
      <c r="P51" s="6"/>
      <c r="Q51" s="6"/>
      <c r="R51" s="8"/>
      <c r="S51" s="6"/>
      <c r="T51" s="1"/>
    </row>
    <row r="52" spans="1:20" ht="15.6">
      <c r="A52" s="1"/>
      <c r="B52" s="6"/>
      <c r="C52" s="35"/>
      <c r="D52" s="36"/>
      <c r="E52" s="36"/>
      <c r="F52" s="36"/>
      <c r="G52" s="36"/>
      <c r="H52" s="36"/>
      <c r="I52" s="18"/>
      <c r="J52" s="18"/>
      <c r="K52" s="46" t="s">
        <v>39</v>
      </c>
      <c r="L52" s="46"/>
      <c r="M52" s="46"/>
      <c r="N52" s="46"/>
      <c r="O52" s="47">
        <f>SUM((G14 + G17) * 12,G20)</f>
        <v>24335</v>
      </c>
      <c r="P52" s="47"/>
      <c r="Q52" s="47"/>
      <c r="R52" s="49"/>
      <c r="S52" s="6"/>
      <c r="T52" s="1"/>
    </row>
    <row r="53" spans="1:20" ht="15.6">
      <c r="A53" s="1"/>
      <c r="B53" s="6"/>
      <c r="C53" s="35"/>
      <c r="D53" s="36"/>
      <c r="E53" s="36"/>
      <c r="F53" s="36"/>
      <c r="G53" s="36"/>
      <c r="H53" s="36"/>
      <c r="I53" s="6"/>
      <c r="J53" s="6"/>
      <c r="K53" s="46"/>
      <c r="L53" s="46"/>
      <c r="M53" s="46"/>
      <c r="N53" s="46"/>
      <c r="O53" s="47"/>
      <c r="P53" s="47"/>
      <c r="Q53" s="47"/>
      <c r="R53" s="49"/>
      <c r="S53" s="6"/>
      <c r="T53" s="1"/>
    </row>
    <row r="54" spans="1:20" ht="15.6">
      <c r="A54" s="1"/>
      <c r="B54" s="6"/>
      <c r="C54" s="35"/>
      <c r="D54" s="36"/>
      <c r="E54" s="36"/>
      <c r="F54" s="36"/>
      <c r="G54" s="36"/>
      <c r="H54" s="36"/>
      <c r="I54" s="6"/>
      <c r="J54" s="6"/>
      <c r="K54" s="46" t="s">
        <v>40</v>
      </c>
      <c r="L54" s="46"/>
      <c r="M54" s="46"/>
      <c r="N54" s="46"/>
      <c r="O54" s="47">
        <f>O52 *1.21</f>
        <v>29445.35</v>
      </c>
      <c r="P54" s="47"/>
      <c r="Q54" s="47"/>
      <c r="R54" s="49"/>
      <c r="S54" s="6"/>
      <c r="T54" s="1"/>
    </row>
    <row r="55" spans="1:20" ht="15.6">
      <c r="A55" s="1"/>
      <c r="B55" s="6"/>
      <c r="C55" s="5"/>
      <c r="D55" s="6"/>
      <c r="E55" s="6"/>
      <c r="F55" s="6"/>
      <c r="G55" s="6"/>
      <c r="H55" s="6"/>
      <c r="I55" s="6"/>
      <c r="J55" s="6"/>
      <c r="K55" s="46"/>
      <c r="L55" s="46"/>
      <c r="M55" s="46"/>
      <c r="N55" s="46"/>
      <c r="O55" s="47"/>
      <c r="P55" s="47"/>
      <c r="Q55" s="47"/>
      <c r="R55" s="49"/>
      <c r="S55" s="6"/>
      <c r="T55" s="1"/>
    </row>
    <row r="56" spans="1:20">
      <c r="A56" s="1"/>
      <c r="B56" s="1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0"/>
      <c r="S56" s="1"/>
      <c r="T56" s="1"/>
    </row>
    <row r="57" spans="1:20" ht="15" customHeight="1">
      <c r="A57" s="1"/>
      <c r="B57" s="1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0"/>
      <c r="S57" s="1"/>
      <c r="T57" s="1"/>
    </row>
    <row r="58" spans="1:20" ht="15" thickBot="1">
      <c r="A58" s="1"/>
      <c r="B58" s="1"/>
      <c r="C58" s="21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3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60">
    <mergeCell ref="C8:F10"/>
    <mergeCell ref="G8:J10"/>
    <mergeCell ref="K8:N10"/>
    <mergeCell ref="O8:R10"/>
    <mergeCell ref="C11:F12"/>
    <mergeCell ref="C20:F21"/>
    <mergeCell ref="G20:J21"/>
    <mergeCell ref="K20:N21"/>
    <mergeCell ref="O20:R21"/>
    <mergeCell ref="G11:J12"/>
    <mergeCell ref="K11:N12"/>
    <mergeCell ref="O11:R12"/>
    <mergeCell ref="G14:J15"/>
    <mergeCell ref="K14:N15"/>
    <mergeCell ref="O14:R15"/>
    <mergeCell ref="C14:F15"/>
    <mergeCell ref="C17:F18"/>
    <mergeCell ref="G17:J18"/>
    <mergeCell ref="K17:N18"/>
    <mergeCell ref="O17:R18"/>
    <mergeCell ref="C23:F24"/>
    <mergeCell ref="G23:J24"/>
    <mergeCell ref="K23:N24"/>
    <mergeCell ref="O23:R24"/>
    <mergeCell ref="C26:F27"/>
    <mergeCell ref="G26:J27"/>
    <mergeCell ref="K26:N27"/>
    <mergeCell ref="O26:R27"/>
    <mergeCell ref="C29:F30"/>
    <mergeCell ref="G29:J30"/>
    <mergeCell ref="K29:N30"/>
    <mergeCell ref="O29:R30"/>
    <mergeCell ref="C32:F33"/>
    <mergeCell ref="G32:J33"/>
    <mergeCell ref="K32:N33"/>
    <mergeCell ref="O32:R33"/>
    <mergeCell ref="C35:F36"/>
    <mergeCell ref="G35:J36"/>
    <mergeCell ref="K35:N36"/>
    <mergeCell ref="O35:R36"/>
    <mergeCell ref="C38:F39"/>
    <mergeCell ref="G38:J39"/>
    <mergeCell ref="K38:N39"/>
    <mergeCell ref="O38:R39"/>
    <mergeCell ref="P3:R7"/>
    <mergeCell ref="C49:H54"/>
    <mergeCell ref="C3:J7"/>
    <mergeCell ref="K49:N50"/>
    <mergeCell ref="O49:R50"/>
    <mergeCell ref="K52:N53"/>
    <mergeCell ref="K54:N55"/>
    <mergeCell ref="O52:R53"/>
    <mergeCell ref="O54:R55"/>
    <mergeCell ref="K47:N48"/>
    <mergeCell ref="O47:R48"/>
    <mergeCell ref="C47:G48"/>
    <mergeCell ref="C41:F42"/>
    <mergeCell ref="G41:J42"/>
    <mergeCell ref="K41:N42"/>
    <mergeCell ref="O41:R42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F2FBE0D4E85C84C9CB2D314751A4DE0" ma:contentTypeVersion="3" ma:contentTypeDescription="Vytvoří nový dokument" ma:contentTypeScope="" ma:versionID="6efb14e5ffc01727219289f937d3ec5b">
  <xsd:schema xmlns:xsd="http://www.w3.org/2001/XMLSchema" xmlns:xs="http://www.w3.org/2001/XMLSchema" xmlns:p="http://schemas.microsoft.com/office/2006/metadata/properties" xmlns:ns2="c102f85e-cedf-4af4-9e9e-3206c00983e7" targetNamespace="http://schemas.microsoft.com/office/2006/metadata/properties" ma:root="true" ma:fieldsID="8ab9fec38f47c90c0964834f81dd8bad" ns2:_="">
    <xsd:import namespace="c102f85e-cedf-4af4-9e9e-3206c0098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2f85e-cedf-4af4-9e9e-3206c00983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80106-D107-4606-AC51-A576B4B90925}"/>
</file>

<file path=customXml/itemProps2.xml><?xml version="1.0" encoding="utf-8"?>
<ds:datastoreItem xmlns:ds="http://schemas.openxmlformats.org/officeDocument/2006/customXml" ds:itemID="{1FE1BA23-B14A-4EFE-AFFA-723CDF858AB9}"/>
</file>

<file path=customXml/itemProps3.xml><?xml version="1.0" encoding="utf-8"?>
<ds:datastoreItem xmlns:ds="http://schemas.openxmlformats.org/officeDocument/2006/customXml" ds:itemID="{41CA38ED-9E51-41D1-82F8-9A9802525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Cincibus Milan</dc:creator>
  <cp:keywords/>
  <dc:description/>
  <cp:lastModifiedBy>Cincibus Milan</cp:lastModifiedBy>
  <cp:revision/>
  <dcterms:created xsi:type="dcterms:W3CDTF">2026-10-08T06:26:24Z</dcterms:created>
  <dcterms:modified xsi:type="dcterms:W3CDTF">2026-10-08T09:38:16Z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0x0101009F2FBE0D4E85C84C9CB2D314751A4DE0</vt:lpwstr>
  </property>
</Properties>
</file>